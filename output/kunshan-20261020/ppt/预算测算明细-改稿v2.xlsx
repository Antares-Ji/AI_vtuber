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收入测算" sheetId="1" state="visible" r:id="rId1"/>
    <sheet xmlns:r="http://schemas.openxmlformats.org/officeDocument/2006/relationships" name="2 支出测算" sheetId="2" state="visible" r:id="rId2"/>
    <sheet xmlns:r="http://schemas.openxmlformats.org/officeDocument/2006/relationships" name="3 现金流" sheetId="3" state="visible" r:id="rId3"/>
    <sheet xmlns:r="http://schemas.openxmlformats.org/officeDocument/2006/relationships" name="4 指标" sheetId="4" state="visible" r:id="rId4"/>
    <sheet xmlns:r="http://schemas.openxmlformats.org/officeDocument/2006/relationships" name="5 申请额重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48" customWidth="1" min="7" max="7"/>
    <col width="40" customWidth="1" min="8" max="8"/>
  </cols>
  <sheetData>
    <row r="1">
      <c r="A1" s="1" t="inlineStr">
        <is>
          <t>收入来源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全年</t>
        </is>
      </c>
      <c r="G1" s="1" t="inlineStr">
        <is>
          <t>计算依据</t>
        </is>
      </c>
      <c r="H1" s="1" t="inlineStr">
        <is>
          <t>口径与假设</t>
        </is>
      </c>
    </row>
    <row r="2">
      <c r="A2" s="2" t="inlineStr">
        <is>
          <t>礼物与付费留言净到账</t>
        </is>
      </c>
      <c r="B2" s="3" t="n">
        <v>1200</v>
      </c>
      <c r="C2" s="3" t="n">
        <v>3000</v>
      </c>
      <c r="D2" s="3" t="n">
        <v>5300</v>
      </c>
      <c r="E2" s="3" t="n">
        <v>7900</v>
      </c>
      <c r="F2" s="3">
        <f>SUM(B2:E2)</f>
        <v/>
      </c>
      <c r="G2" s="2" t="inlineStr">
        <is>
          <t>计划书季度目标值；计划书给出的方法为“有效观众×实际付费比例×人均净收入”，但未给出各参数取值</t>
        </is>
      </c>
      <c r="H2" s="2" t="inlineStr">
        <is>
          <t>净到账＝扣除平台分成后；税费未单列（假设）</t>
        </is>
      </c>
    </row>
    <row r="3">
      <c r="A3" s="2" t="inlineStr">
        <is>
          <t>会员净到账</t>
        </is>
      </c>
      <c r="B3" s="3" t="n">
        <v>0</v>
      </c>
      <c r="C3" s="3" t="n">
        <v>0</v>
      </c>
      <c r="D3" s="3">
        <f>B10*B11</f>
        <v/>
      </c>
      <c r="E3" s="3">
        <f>B14*B11</f>
        <v/>
      </c>
      <c r="F3" s="3">
        <f>SUM(B3:E3)</f>
        <v/>
      </c>
      <c r="G3" s="2" t="inlineStr">
        <is>
          <t>会员月 × 每会员月净到账</t>
        </is>
      </c>
      <c r="H3" s="2" t="inlineStr">
        <is>
          <t>50 元/会员月为情景假设，不是平台定价；会员自 Q3 起</t>
        </is>
      </c>
    </row>
    <row r="4">
      <c r="A4" s="2" t="inlineStr">
        <is>
          <t>周边销售</t>
        </is>
      </c>
      <c r="B4" s="3" t="n">
        <v>0</v>
      </c>
      <c r="C4" s="3" t="n">
        <v>0</v>
      </c>
      <c r="D4" s="3" t="n">
        <v>5000</v>
      </c>
      <c r="E4" s="3" t="n">
        <v>10000</v>
      </c>
      <c r="F4" s="3">
        <f>SUM(B4:E4)</f>
        <v/>
      </c>
      <c r="G4" s="2" t="inlineStr">
        <is>
          <t>计划书目标销售额；款式、单价、销量未给出</t>
        </is>
      </c>
      <c r="H4" s="2" t="inlineStr">
        <is>
          <t>预售回款；履约成本见支出表</t>
        </is>
      </c>
    </row>
    <row r="5">
      <c r="A5" s="2" t="inlineStr">
        <is>
          <t>商业合作收款</t>
        </is>
      </c>
      <c r="B5" s="3" t="n">
        <v>0</v>
      </c>
      <c r="C5" s="3" t="n">
        <v>0</v>
      </c>
      <c r="D5" s="3" t="n">
        <v>0</v>
      </c>
      <c r="E5" s="3">
        <f>B12*B13</f>
        <v/>
      </c>
      <c r="F5" s="3">
        <f>SUM(B5:E5)</f>
        <v/>
      </c>
      <c r="G5" s="2" t="inlineStr">
        <is>
          <t>合作次数 × 每次收款</t>
        </is>
      </c>
      <c r="H5" s="2" t="inlineStr">
        <is>
          <t>首年两次、每次 5,000 元为目标，以签约结算为准</t>
        </is>
      </c>
    </row>
    <row r="6">
      <c r="A6" s="2" t="inlineStr">
        <is>
          <t>收入合计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2" t="inlineStr"/>
      <c r="H6" s="2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参数</t>
        </is>
      </c>
      <c r="B9" s="2" t="inlineStr">
        <is>
          <t>值</t>
        </is>
      </c>
      <c r="C9" s="2" t="inlineStr"/>
      <c r="D9" s="2" t="inlineStr"/>
      <c r="E9" s="2" t="inlineStr"/>
      <c r="F9" s="2" t="inlineStr"/>
      <c r="G9" s="2" t="inlineStr">
        <is>
          <t>说明</t>
        </is>
      </c>
      <c r="H9" s="2" t="inlineStr"/>
    </row>
    <row r="10">
      <c r="A10" s="2" t="inlineStr">
        <is>
          <t>Q3 会员月</t>
        </is>
      </c>
      <c r="B10" s="3" t="n">
        <v>105</v>
      </c>
      <c r="C10" s="2" t="inlineStr"/>
      <c r="D10" s="2" t="inlineStr"/>
      <c r="E10" s="2" t="inlineStr"/>
      <c r="F10" s="2" t="inlineStr"/>
      <c r="G10" s="2" t="inlineStr">
        <is>
          <t>5,250 ÷ 50</t>
        </is>
      </c>
      <c r="H10" s="2" t="inlineStr"/>
    </row>
    <row r="11">
      <c r="A11" s="2" t="inlineStr">
        <is>
          <t>每会员月净到账（元）</t>
        </is>
      </c>
      <c r="B11" s="3" t="n">
        <v>50</v>
      </c>
      <c r="C11" s="2" t="inlineStr"/>
      <c r="D11" s="2" t="inlineStr"/>
      <c r="E11" s="2" t="inlineStr"/>
      <c r="F11" s="2" t="inlineStr"/>
      <c r="G11" s="2" t="inlineStr">
        <is>
          <t>情景假设</t>
        </is>
      </c>
      <c r="H11" s="2" t="inlineStr"/>
    </row>
    <row r="12">
      <c r="A12" s="2" t="inlineStr">
        <is>
          <t>合作次数（Q4）</t>
        </is>
      </c>
      <c r="B12" s="3" t="n">
        <v>2</v>
      </c>
      <c r="C12" s="2" t="inlineStr"/>
      <c r="D12" s="2" t="inlineStr"/>
      <c r="E12" s="2" t="inlineStr"/>
      <c r="F12" s="2" t="inlineStr"/>
      <c r="G12" s="2" t="inlineStr">
        <is>
          <t>目标</t>
        </is>
      </c>
      <c r="H12" s="2" t="inlineStr"/>
    </row>
    <row r="13">
      <c r="A13" s="2" t="inlineStr">
        <is>
          <t>每次合作收款（元）</t>
        </is>
      </c>
      <c r="B13" s="3" t="n">
        <v>5000</v>
      </c>
      <c r="C13" s="2" t="inlineStr"/>
      <c r="D13" s="2" t="inlineStr"/>
      <c r="E13" s="2" t="inlineStr"/>
      <c r="F13" s="2" t="inlineStr"/>
      <c r="G13" s="2" t="inlineStr">
        <is>
          <t>目标</t>
        </is>
      </c>
      <c r="H13" s="2" t="inlineStr"/>
    </row>
    <row r="14">
      <c r="A14" s="2" t="inlineStr">
        <is>
          <t>Q4 会员月</t>
        </is>
      </c>
      <c r="B14" s="3" t="n">
        <v>280</v>
      </c>
      <c r="C14" s="2" t="inlineStr"/>
      <c r="D14" s="2" t="inlineStr"/>
      <c r="E14" s="2" t="inlineStr"/>
      <c r="F14" s="2" t="inlineStr"/>
      <c r="G14" s="2" t="inlineStr">
        <is>
          <t>14,000 ÷ 50；全年 105＋280＝385 会员月</t>
        </is>
      </c>
      <c r="H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2" customWidth="1" min="4" max="4"/>
    <col width="46" customWidth="1" min="5" max="5"/>
  </cols>
  <sheetData>
    <row r="1">
      <c r="A1" s="1" t="inlineStr">
        <is>
          <t>支出项目</t>
        </is>
      </c>
      <c r="B1" s="1" t="inlineStr">
        <is>
          <t>全年</t>
        </is>
      </c>
      <c r="C1" s="1" t="inlineStr">
        <is>
          <t>每季度</t>
        </is>
      </c>
      <c r="D1" s="1" t="inlineStr">
        <is>
          <t>频次/口径</t>
        </is>
      </c>
      <c r="E1" s="1" t="inlineStr">
        <is>
          <t>备注</t>
        </is>
      </c>
    </row>
    <row r="2">
      <c r="A2" s="2" t="inlineStr">
        <is>
          <t>模型语音云服务</t>
        </is>
      </c>
      <c r="B2" s="3" t="n">
        <v>18000</v>
      </c>
      <c r="C2" s="3">
        <f>B2/4</f>
        <v/>
      </c>
      <c r="D2" s="2" t="inlineStr">
        <is>
          <t>约 1,500 元/月</t>
        </is>
      </c>
      <c r="E2" s="2" t="inlineStr">
        <is>
          <t>日常运营</t>
        </is>
      </c>
    </row>
    <row r="3">
      <c r="A3" s="2" t="inlineStr">
        <is>
          <t>剪辑与社群补贴</t>
        </is>
      </c>
      <c r="B3" s="3" t="n">
        <v>12000</v>
      </c>
      <c r="C3" s="3">
        <f>B3/4</f>
        <v/>
      </c>
      <c r="D3" s="2" t="inlineStr">
        <is>
          <t>约 1,000 元/月</t>
        </is>
      </c>
      <c r="E3" s="2" t="inlineStr">
        <is>
          <t>日常运营</t>
        </is>
      </c>
    </row>
    <row r="4">
      <c r="A4" s="2" t="inlineStr">
        <is>
          <t>推广</t>
        </is>
      </c>
      <c r="B4" s="3" t="n">
        <v>18000</v>
      </c>
      <c r="C4" s="3">
        <f>B4/4</f>
        <v/>
      </c>
      <c r="D4" s="2" t="inlineStr">
        <is>
          <t>分批投放</t>
        </is>
      </c>
      <c r="E4" s="2" t="inlineStr">
        <is>
          <t>日常运营；先比较自然流量，再追加</t>
        </is>
      </c>
    </row>
    <row r="5">
      <c r="A5" s="2" t="inlineStr">
        <is>
          <t>活动杂费</t>
        </is>
      </c>
      <c r="B5" s="3" t="n">
        <v>4000</v>
      </c>
      <c r="C5" s="3">
        <f>B5/4</f>
        <v/>
      </c>
      <c r="D5" s="2" t="inlineStr">
        <is>
          <t>约 333 元/月</t>
        </is>
      </c>
      <c r="E5" s="2" t="inlineStr">
        <is>
          <t>日常运营</t>
        </is>
      </c>
    </row>
    <row r="6">
      <c r="A6" s="2" t="inlineStr">
        <is>
          <t>日常运营小计</t>
        </is>
      </c>
      <c r="B6" s="3">
        <f>SUM(B2:B5)</f>
        <v/>
      </c>
      <c r="C6" s="3">
        <f>SUM(C2:C5)</f>
        <v/>
      </c>
      <c r="D6" s="2" t="inlineStr"/>
      <c r="E6" s="2" t="inlineStr">
        <is>
          <t>计划书：52,000 元</t>
        </is>
      </c>
    </row>
    <row r="7">
      <c r="A7" s="2" t="inlineStr">
        <is>
          <t>周边制作履约</t>
        </is>
      </c>
      <c r="B7" s="3" t="n">
        <v>10500</v>
      </c>
      <c r="C7" s="2" t="inlineStr"/>
      <c r="D7" s="2" t="inlineStr">
        <is>
          <t>Q3 3,500；Q4 7,000</t>
        </is>
      </c>
      <c r="E7" s="2" t="inlineStr">
        <is>
          <t>为周边销售额的 70%</t>
        </is>
      </c>
    </row>
    <row r="8">
      <c r="A8" s="2" t="inlineStr">
        <is>
          <t>运营与履约现金支出合计</t>
        </is>
      </c>
      <c r="B8" s="3">
        <f>B6+B7</f>
        <v/>
      </c>
      <c r="C8" s="2" t="inlineStr"/>
      <c r="D8" s="2" t="inlineStr"/>
      <c r="E8" s="2" t="inlineStr">
        <is>
          <t>计划书：62,500 元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启动投入（单列，不计入日常运营）</t>
        </is>
      </c>
      <c r="B10" s="2" t="inlineStr"/>
      <c r="C10" s="2" t="inlineStr"/>
      <c r="D10" s="2" t="inlineStr"/>
      <c r="E10" s="2" t="inlineStr"/>
    </row>
    <row r="11">
      <c r="A11" s="2" t="inlineStr">
        <is>
          <t>原画</t>
        </is>
      </c>
      <c r="B11" s="3" t="n">
        <v>8000</v>
      </c>
      <c r="C11" s="2" t="inlineStr"/>
      <c r="D11" s="2" t="inlineStr">
        <is>
          <t>一次性</t>
        </is>
      </c>
      <c r="E11" s="2" t="inlineStr">
        <is>
          <t>11 月底交付；尚未付款（用户确认）</t>
        </is>
      </c>
    </row>
    <row r="12">
      <c r="A12" s="2" t="inlineStr">
        <is>
          <t>Live2D 及表情</t>
        </is>
      </c>
      <c r="B12" s="3" t="n">
        <v>14000</v>
      </c>
      <c r="C12" s="2" t="inlineStr"/>
      <c r="D12" s="2" t="inlineStr">
        <is>
          <t>一次性</t>
        </is>
      </c>
      <c r="E12" s="2" t="inlineStr">
        <is>
          <t>11 月底交付；尚未付款（用户确认）</t>
        </is>
      </c>
    </row>
    <row r="13">
      <c r="A13" s="2" t="inlineStr">
        <is>
          <t>开发工具</t>
        </is>
      </c>
      <c r="B13" s="3" t="n">
        <v>3000</v>
      </c>
      <c r="C13" s="2" t="inlineStr"/>
      <c r="D13" s="2" t="inlineStr">
        <is>
          <t>一次性</t>
        </is>
      </c>
      <c r="E13" s="2" t="inlineStr"/>
    </row>
    <row r="14">
      <c r="A14" s="2" t="inlineStr">
        <is>
          <t>启动投入小计</t>
        </is>
      </c>
      <c r="B14" s="3">
        <f>SUM(B11:B13)</f>
        <v/>
      </c>
      <c r="C14" s="2" t="inlineStr"/>
      <c r="D14" s="2" t="inlineStr"/>
      <c r="E14" s="2" t="inlineStr">
        <is>
          <t>计划书：25,000 元</t>
        </is>
      </c>
    </row>
    <row r="15">
      <c r="A15" s="2" t="n"/>
      <c r="B15" s="2" t="n"/>
      <c r="C15" s="2" t="n"/>
      <c r="D15" s="2" t="n"/>
      <c r="E15" s="2" t="n"/>
    </row>
    <row r="16">
      <c r="A16" s="2" t="inlineStr">
        <is>
          <t>团队成员薪酬</t>
        </is>
      </c>
      <c r="B16" s="3" t="n">
        <v>0</v>
      </c>
      <c r="C16" s="2" t="inlineStr"/>
      <c r="D16" s="2" t="inlineStr"/>
      <c r="E16" s="2" t="inlineStr">
        <is>
          <t>团队成员不领薪（用户确认）；工时另行登记，不进现金预算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6" customWidth="1" min="7" max="7"/>
    <col width="30" customWidth="1" min="8" max="8"/>
  </cols>
  <sheetData>
    <row r="1">
      <c r="A1" s="1" t="inlineStr">
        <is>
          <t>期间</t>
        </is>
      </c>
      <c r="B1" s="1" t="inlineStr">
        <is>
          <t>收入</t>
        </is>
      </c>
      <c r="C1" s="1" t="inlineStr">
        <is>
          <t>日常运营</t>
        </is>
      </c>
      <c r="D1" s="1" t="inlineStr">
        <is>
          <t>周边履约</t>
        </is>
      </c>
      <c r="E1" s="1" t="inlineStr">
        <is>
          <t>启动投入</t>
        </is>
      </c>
      <c r="F1" s="1" t="inlineStr">
        <is>
          <t>当期净现金</t>
        </is>
      </c>
      <c r="G1" s="1" t="inlineStr">
        <is>
          <t>累计现金（含启动）</t>
        </is>
      </c>
      <c r="H1" s="1" t="inlineStr">
        <is>
          <t>说明</t>
        </is>
      </c>
    </row>
    <row r="2">
      <c r="A2" t="inlineStr">
        <is>
          <t>期初</t>
        </is>
      </c>
      <c r="B2" s="4" t="n">
        <v>0</v>
      </c>
      <c r="C2" s="4" t="n">
        <v>0</v>
      </c>
      <c r="D2" s="4" t="n">
        <v>0</v>
      </c>
      <c r="E2" s="4" t="n">
        <v>25000</v>
      </c>
      <c r="F2" s="4">
        <f>B2-C2-D2-E2</f>
        <v/>
      </c>
      <c r="G2" s="4">
        <f>F2</f>
        <v/>
      </c>
      <c r="H2" t="inlineStr"/>
    </row>
    <row r="3">
      <c r="A3" t="inlineStr">
        <is>
          <t>Q1</t>
        </is>
      </c>
      <c r="B3" s="4">
        <f>'1 收入测算'!B6</f>
        <v/>
      </c>
      <c r="C3" s="4" t="n">
        <v>13000</v>
      </c>
      <c r="D3" s="4" t="n">
        <v>0</v>
      </c>
      <c r="E3" s="4" t="n">
        <v>0</v>
      </c>
      <c r="F3" s="4">
        <f>B3-C3-D3-E3</f>
        <v/>
      </c>
      <c r="G3" s="4">
        <f>G2+F3</f>
        <v/>
      </c>
      <c r="H3" t="inlineStr"/>
    </row>
    <row r="4">
      <c r="A4" t="inlineStr">
        <is>
          <t>Q2</t>
        </is>
      </c>
      <c r="B4" s="4">
        <f>'1 收入测算'!C6</f>
        <v/>
      </c>
      <c r="C4" s="4" t="n">
        <v>13000</v>
      </c>
      <c r="D4" s="4" t="n">
        <v>0</v>
      </c>
      <c r="E4" s="4" t="n">
        <v>0</v>
      </c>
      <c r="F4" s="4">
        <f>B4-C4-D4-E4</f>
        <v/>
      </c>
      <c r="G4" s="4">
        <f>G3+F4</f>
        <v/>
      </c>
      <c r="H4" t="inlineStr"/>
    </row>
    <row r="5">
      <c r="A5" t="inlineStr">
        <is>
          <t>Q3</t>
        </is>
      </c>
      <c r="B5" s="4">
        <f>'1 收入测算'!D6</f>
        <v/>
      </c>
      <c r="C5" s="4" t="n">
        <v>13000</v>
      </c>
      <c r="D5" s="4" t="n">
        <v>3500</v>
      </c>
      <c r="E5" s="4" t="n">
        <v>0</v>
      </c>
      <c r="F5" s="4">
        <f>B5-C5-D5-E5</f>
        <v/>
      </c>
      <c r="G5" s="4">
        <f>G4+F5</f>
        <v/>
      </c>
      <c r="H5" t="inlineStr"/>
    </row>
    <row r="6">
      <c r="A6" t="inlineStr">
        <is>
          <t>Q4</t>
        </is>
      </c>
      <c r="B6" s="4">
        <f>'1 收入测算'!E6</f>
        <v/>
      </c>
      <c r="C6" s="4" t="n">
        <v>13000</v>
      </c>
      <c r="D6" s="4" t="n">
        <v>7000</v>
      </c>
      <c r="E6" s="4" t="n">
        <v>0</v>
      </c>
      <c r="F6" s="4">
        <f>B6-C6-D6-E6</f>
        <v/>
      </c>
      <c r="G6" s="4">
        <f>G5+F6</f>
        <v/>
      </c>
      <c r="H6" t="inlineStr"/>
    </row>
    <row r="7">
      <c r="A7" t="inlineStr">
        <is>
          <t>全年合计</t>
        </is>
      </c>
      <c r="B7" s="4">
        <f>SUM(B3:B6)</f>
        <v/>
      </c>
      <c r="C7" s="4">
        <f>SUM(C3:C6)</f>
        <v/>
      </c>
      <c r="D7" s="4">
        <f>SUM(D3:D6)</f>
        <v/>
      </c>
      <c r="E7" s="4">
        <f>E2</f>
        <v/>
      </c>
      <c r="F7" s="4">
        <f>SUM(F2:F6)</f>
        <v/>
      </c>
      <c r="G7" t="inlineStr"/>
      <c r="H7" t="inlineStr">
        <is>
          <t>含启动的全年现金缺口</t>
        </is>
      </c>
    </row>
    <row r="8"/>
    <row r="9">
      <c r="A9" t="inlineStr">
        <is>
          <t>月度（按季度平均分摊）</t>
        </is>
      </c>
      <c r="B9" t="inlineStr"/>
      <c r="C9" t="inlineStr"/>
      <c r="D9" t="inlineStr"/>
      <c r="E9" t="inlineStr"/>
      <c r="F9" t="inlineStr">
        <is>
          <t>当月净现金</t>
        </is>
      </c>
      <c r="G9" t="inlineStr">
        <is>
          <t>累计现金</t>
        </is>
      </c>
      <c r="H9" t="inlineStr"/>
    </row>
    <row r="10">
      <c r="A10" t="inlineStr">
        <is>
          <t>第 1 月</t>
        </is>
      </c>
      <c r="B10" s="4">
        <f>B3/3</f>
        <v/>
      </c>
      <c r="C10" s="4">
        <f>C3/3</f>
        <v/>
      </c>
      <c r="D10" s="4">
        <f>D3/3</f>
        <v/>
      </c>
      <c r="E10" t="inlineStr"/>
      <c r="F10" s="4">
        <f>B10-C10-D10</f>
        <v/>
      </c>
      <c r="G10" s="4">
        <f>-E2+F10</f>
        <v/>
      </c>
      <c r="H10" t="inlineStr"/>
    </row>
    <row r="11">
      <c r="A11" t="inlineStr">
        <is>
          <t>第 2 月</t>
        </is>
      </c>
      <c r="B11" s="4">
        <f>B3/3</f>
        <v/>
      </c>
      <c r="C11" s="4">
        <f>C3/3</f>
        <v/>
      </c>
      <c r="D11" s="4">
        <f>D3/3</f>
        <v/>
      </c>
      <c r="E11" t="inlineStr"/>
      <c r="F11" s="4">
        <f>B11-C11-D11</f>
        <v/>
      </c>
      <c r="G11" s="4">
        <f>G10+F11</f>
        <v/>
      </c>
      <c r="H11" t="inlineStr"/>
    </row>
    <row r="12">
      <c r="A12" t="inlineStr">
        <is>
          <t>第 3 月</t>
        </is>
      </c>
      <c r="B12" s="4">
        <f>B3/3</f>
        <v/>
      </c>
      <c r="C12" s="4">
        <f>C3/3</f>
        <v/>
      </c>
      <c r="D12" s="4">
        <f>D3/3</f>
        <v/>
      </c>
      <c r="E12" t="inlineStr"/>
      <c r="F12" s="4">
        <f>B12-C12-D12</f>
        <v/>
      </c>
      <c r="G12" s="4">
        <f>G11+F12</f>
        <v/>
      </c>
      <c r="H12" t="inlineStr"/>
    </row>
    <row r="13">
      <c r="A13" t="inlineStr">
        <is>
          <t>第 4 月</t>
        </is>
      </c>
      <c r="B13" s="4">
        <f>B4/3</f>
        <v/>
      </c>
      <c r="C13" s="4">
        <f>C4/3</f>
        <v/>
      </c>
      <c r="D13" s="4">
        <f>D4/3</f>
        <v/>
      </c>
      <c r="E13" t="inlineStr"/>
      <c r="F13" s="4">
        <f>B13-C13-D13</f>
        <v/>
      </c>
      <c r="G13" s="4">
        <f>G12+F13</f>
        <v/>
      </c>
      <c r="H13" t="inlineStr"/>
    </row>
    <row r="14">
      <c r="A14" t="inlineStr">
        <is>
          <t>第 5 月</t>
        </is>
      </c>
      <c r="B14" s="4">
        <f>B4/3</f>
        <v/>
      </c>
      <c r="C14" s="4">
        <f>C4/3</f>
        <v/>
      </c>
      <c r="D14" s="4">
        <f>D4/3</f>
        <v/>
      </c>
      <c r="E14" t="inlineStr"/>
      <c r="F14" s="4">
        <f>B14-C14-D14</f>
        <v/>
      </c>
      <c r="G14" s="4">
        <f>G13+F14</f>
        <v/>
      </c>
      <c r="H14" t="inlineStr"/>
    </row>
    <row r="15">
      <c r="A15" t="inlineStr">
        <is>
          <t>第 6 月</t>
        </is>
      </c>
      <c r="B15" s="4">
        <f>B4/3</f>
        <v/>
      </c>
      <c r="C15" s="4">
        <f>C4/3</f>
        <v/>
      </c>
      <c r="D15" s="4">
        <f>D4/3</f>
        <v/>
      </c>
      <c r="E15" t="inlineStr"/>
      <c r="F15" s="4">
        <f>B15-C15-D15</f>
        <v/>
      </c>
      <c r="G15" s="4">
        <f>G14+F15</f>
        <v/>
      </c>
      <c r="H15" t="inlineStr"/>
    </row>
    <row r="16">
      <c r="A16" t="inlineStr">
        <is>
          <t>第 7 月</t>
        </is>
      </c>
      <c r="B16" s="4">
        <f>B5/3</f>
        <v/>
      </c>
      <c r="C16" s="4">
        <f>C5/3</f>
        <v/>
      </c>
      <c r="D16" s="4">
        <f>D5/3</f>
        <v/>
      </c>
      <c r="E16" t="inlineStr"/>
      <c r="F16" s="4">
        <f>B16-C16-D16</f>
        <v/>
      </c>
      <c r="G16" s="4">
        <f>G15+F16</f>
        <v/>
      </c>
      <c r="H16" t="inlineStr"/>
    </row>
    <row r="17">
      <c r="A17" t="inlineStr">
        <is>
          <t>第 8 月</t>
        </is>
      </c>
      <c r="B17" s="4">
        <f>B5/3</f>
        <v/>
      </c>
      <c r="C17" s="4">
        <f>C5/3</f>
        <v/>
      </c>
      <c r="D17" s="4">
        <f>D5/3</f>
        <v/>
      </c>
      <c r="E17" t="inlineStr"/>
      <c r="F17" s="4">
        <f>B17-C17-D17</f>
        <v/>
      </c>
      <c r="G17" s="4">
        <f>G16+F17</f>
        <v/>
      </c>
      <c r="H17" t="inlineStr"/>
    </row>
    <row r="18">
      <c r="A18" t="inlineStr">
        <is>
          <t>第 9 月</t>
        </is>
      </c>
      <c r="B18" s="4">
        <f>B5/3</f>
        <v/>
      </c>
      <c r="C18" s="4">
        <f>C5/3</f>
        <v/>
      </c>
      <c r="D18" s="4">
        <f>D5/3</f>
        <v/>
      </c>
      <c r="E18" t="inlineStr"/>
      <c r="F18" s="4">
        <f>B18-C18-D18</f>
        <v/>
      </c>
      <c r="G18" s="4">
        <f>G17+F18</f>
        <v/>
      </c>
      <c r="H18" t="inlineStr"/>
    </row>
    <row r="19">
      <c r="A19" t="inlineStr">
        <is>
          <t>第 10 月</t>
        </is>
      </c>
      <c r="B19" s="4">
        <f>B6/3</f>
        <v/>
      </c>
      <c r="C19" s="4">
        <f>C6/3</f>
        <v/>
      </c>
      <c r="D19" s="4">
        <f>D6/3</f>
        <v/>
      </c>
      <c r="E19" t="inlineStr"/>
      <c r="F19" s="4">
        <f>B19-C19-D19</f>
        <v/>
      </c>
      <c r="G19" s="4">
        <f>G18+F19</f>
        <v/>
      </c>
      <c r="H19" t="inlineStr"/>
    </row>
    <row r="20">
      <c r="A20" t="inlineStr">
        <is>
          <t>第 11 月</t>
        </is>
      </c>
      <c r="B20" s="4">
        <f>B6/3</f>
        <v/>
      </c>
      <c r="C20" s="4">
        <f>C6/3</f>
        <v/>
      </c>
      <c r="D20" s="4">
        <f>D6/3</f>
        <v/>
      </c>
      <c r="E20" t="inlineStr"/>
      <c r="F20" s="4">
        <f>B20-C20-D20</f>
        <v/>
      </c>
      <c r="G20" s="4">
        <f>G19+F20</f>
        <v/>
      </c>
      <c r="H20" t="inlineStr"/>
    </row>
    <row r="21">
      <c r="A21" t="inlineStr">
        <is>
          <t>第 12 月</t>
        </is>
      </c>
      <c r="B21" s="4">
        <f>B6/3</f>
        <v/>
      </c>
      <c r="C21" s="4">
        <f>C6/3</f>
        <v/>
      </c>
      <c r="D21" s="4">
        <f>D6/3</f>
        <v/>
      </c>
      <c r="E21" t="inlineStr"/>
      <c r="F21" s="4">
        <f>B21-C21-D21</f>
        <v/>
      </c>
      <c r="G21" s="4">
        <f>G20+F21</f>
        <v/>
      </c>
      <c r="H21" t="inlineStr"/>
    </row>
    <row r="22">
      <c r="A22" t="inlineStr">
        <is>
          <t>累计现金最低点（最高垫付）</t>
        </is>
      </c>
      <c r="B22" t="inlineStr"/>
      <c r="C22" t="inlineStr"/>
      <c r="D22" t="inlineStr"/>
      <c r="E22" t="inlineStr"/>
      <c r="F22" t="inlineStr"/>
      <c r="G22" s="4">
        <f>MIN(G10:G21)</f>
        <v/>
      </c>
      <c r="H22" t="inlineStr">
        <is>
          <t>原稿约 47,750 元；平均分摊下出现在第 9 月末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4" customWidth="1" min="4" max="4"/>
    <col width="52" customWidth="1" min="5" max="5"/>
  </cols>
  <sheetData>
    <row r="1">
      <c r="A1" s="1" t="inlineStr">
        <is>
          <t>指标</t>
        </is>
      </c>
      <c r="B1" s="1" t="inlineStr">
        <is>
          <t>分子</t>
        </is>
      </c>
      <c r="C1" s="1" t="inlineStr">
        <is>
          <t>分母</t>
        </is>
      </c>
      <c r="D1" s="1" t="inlineStr">
        <is>
          <t>结果</t>
        </is>
      </c>
      <c r="E1" s="1" t="inlineStr">
        <is>
          <t>说明</t>
        </is>
      </c>
    </row>
    <row r="2">
      <c r="A2" s="2" t="inlineStr">
        <is>
          <t>运营履约覆盖率</t>
        </is>
      </c>
      <c r="B2" s="3">
        <f>'1 收入测算'!F6</f>
        <v/>
      </c>
      <c r="C2" s="3">
        <f>'2 支出测算'!B8</f>
        <v/>
      </c>
      <c r="D2" s="5">
        <f>B2/C2</f>
        <v/>
      </c>
      <c r="E2" s="2" t="inlineStr">
        <is>
          <t>年收入 ÷（日常运营＋周边履约）；低于 100% 表示尚未覆盖</t>
        </is>
      </c>
    </row>
    <row r="3">
      <c r="A3" s="2" t="inlineStr">
        <is>
          <t>含启动投入覆盖率</t>
        </is>
      </c>
      <c r="B3" s="3">
        <f>'1 收入测算'!F6</f>
        <v/>
      </c>
      <c r="C3" s="3">
        <f>'2 支出测算'!B8+'2 支出测算'!B14</f>
        <v/>
      </c>
      <c r="D3" s="5">
        <f>B3/C3</f>
        <v/>
      </c>
      <c r="E3" s="2" t="inlineStr">
        <is>
          <t>年收入 ÷（运营履约＋启动投入）</t>
        </is>
      </c>
    </row>
    <row r="4">
      <c r="A4" s="2" t="inlineStr">
        <is>
          <t>运营现金差额（元）</t>
        </is>
      </c>
      <c r="B4" s="3">
        <f>'1 收入测算'!F6</f>
        <v/>
      </c>
      <c r="C4" s="3">
        <f>'2 支出测算'!B8</f>
        <v/>
      </c>
      <c r="D4" s="3">
        <f>B4-C4</f>
        <v/>
      </c>
      <c r="E4" s="2" t="inlineStr">
        <is>
          <t>原稿：负 850 元</t>
        </is>
      </c>
    </row>
    <row r="5">
      <c r="A5" s="2" t="inlineStr">
        <is>
          <t>含启动全年现金缺口（元）</t>
        </is>
      </c>
      <c r="B5" s="2" t="inlineStr"/>
      <c r="C5" s="2" t="inlineStr"/>
      <c r="D5" s="3">
        <f>D4-'2 支出测算'!B14</f>
        <v/>
      </c>
      <c r="E5" s="2" t="inlineStr">
        <is>
          <t>原稿：负 25,850 元</t>
        </is>
      </c>
    </row>
    <row r="6">
      <c r="A6" s="2" t="inlineStr">
        <is>
          <t>累计最高垫付（元）</t>
        </is>
      </c>
      <c r="B6" s="2" t="inlineStr"/>
      <c r="C6" s="2" t="inlineStr"/>
      <c r="D6" s="3">
        <f>'3 现金流'!G22</f>
        <v/>
      </c>
      <c r="E6" s="2" t="inlineStr">
        <is>
          <t>原稿：约 47,750 元；不等于年末缺口</t>
        </is>
      </c>
    </row>
    <row r="7">
      <c r="A7" s="2" t="inlineStr">
        <is>
          <t>保守情景缺口（元）</t>
        </is>
      </c>
      <c r="B7" s="3" t="n">
        <v>8000</v>
      </c>
      <c r="C7" s="3">
        <f>40000+25000</f>
        <v/>
      </c>
      <c r="D7" s="3">
        <f>B7-C7</f>
        <v/>
      </c>
      <c r="E7" s="2" t="inlineStr">
        <is>
          <t>计划书：会员与合作延后，打赏 8,000、日常 40,000、启动 25,000，缺口约 57,000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56" customWidth="1" min="4" max="4"/>
  </cols>
  <sheetData>
    <row r="1">
      <c r="A1" s="1" t="inlineStr">
        <is>
          <t>项目</t>
        </is>
      </c>
      <c r="B1" s="1" t="inlineStr">
        <is>
          <t>原稿 10 万方案</t>
        </is>
      </c>
      <c r="C1" s="1" t="inlineStr">
        <is>
          <t>首阶段推荐（1–6 月）</t>
        </is>
      </c>
      <c r="D1" s="1" t="inlineStr">
        <is>
          <t>取舍说明</t>
        </is>
      </c>
    </row>
    <row r="2">
      <c r="A2" s="2" t="inlineStr">
        <is>
          <t>原画</t>
        </is>
      </c>
      <c r="B2" s="3" t="n">
        <v>8000</v>
      </c>
      <c r="C2" s="3" t="n">
        <v>8000</v>
      </c>
      <c r="D2" s="2" t="inlineStr">
        <is>
          <t>必要：原创形象首版，11 月底交付</t>
        </is>
      </c>
    </row>
    <row r="3">
      <c r="A3" s="2" t="inlineStr">
        <is>
          <t>Live2D 及表情</t>
        </is>
      </c>
      <c r="B3" s="3" t="n">
        <v>14000</v>
      </c>
      <c r="C3" s="3" t="n">
        <v>14000</v>
      </c>
      <c r="D3" s="2" t="inlineStr">
        <is>
          <t>必要：直播形象</t>
        </is>
      </c>
    </row>
    <row r="4">
      <c r="A4" s="2" t="inlineStr">
        <is>
          <t>开发工具</t>
        </is>
      </c>
      <c r="B4" s="3" t="n">
        <v>3000</v>
      </c>
      <c r="C4" s="3" t="n">
        <v>3000</v>
      </c>
      <c r="D4" s="2" t="inlineStr">
        <is>
          <t>必要</t>
        </is>
      </c>
    </row>
    <row r="5">
      <c r="A5" s="2" t="inlineStr">
        <is>
          <t>模型语音云服务</t>
        </is>
      </c>
      <c r="B5" s="3" t="n">
        <v>18000</v>
      </c>
      <c r="C5" s="3" t="n">
        <v>9000</v>
      </c>
      <c r="D5" s="2" t="inlineStr">
        <is>
          <t>按 1,500 元/月 × 6 月，全额保留</t>
        </is>
      </c>
    </row>
    <row r="6">
      <c r="A6" s="2" t="inlineStr">
        <is>
          <t>剪辑与社群补贴</t>
        </is>
      </c>
      <c r="B6" s="3" t="n">
        <v>12000</v>
      </c>
      <c r="C6" s="3" t="n">
        <v>3000</v>
      </c>
      <c r="D6" s="2" t="inlineStr">
        <is>
          <t>半额：500 元/月 × 6 月；团队成员自剪为主</t>
        </is>
      </c>
    </row>
    <row r="7">
      <c r="A7" s="2" t="inlineStr">
        <is>
          <t>推广</t>
        </is>
      </c>
      <c r="B7" s="3" t="n">
        <v>18000</v>
      </c>
      <c r="C7" s="3" t="n">
        <v>3000</v>
      </c>
      <c r="D7" s="2" t="inlineStr">
        <is>
          <t>只做小额切片测试；回访达标后用到账收入追加</t>
        </is>
      </c>
    </row>
    <row r="8">
      <c r="A8" s="2" t="inlineStr">
        <is>
          <t>活动杂费</t>
        </is>
      </c>
      <c r="B8" s="3" t="n">
        <v>4000</v>
      </c>
      <c r="C8" s="3" t="n">
        <v>2000</v>
      </c>
      <c r="D8" s="2" t="inlineStr">
        <is>
          <t>按全年预算的一半</t>
        </is>
      </c>
    </row>
    <row r="9">
      <c r="A9" s="2" t="inlineStr">
        <is>
          <t>周边周转</t>
        </is>
      </c>
      <c r="B9" s="3" t="n">
        <v>10500</v>
      </c>
      <c r="C9" s="3" t="n">
        <v>0</v>
      </c>
      <c r="D9" s="2" t="inlineStr">
        <is>
          <t>延到下半年，改为预售回款后生产</t>
        </is>
      </c>
    </row>
    <row r="10">
      <c r="A10" s="2" t="inlineStr">
        <is>
          <t>支出小计</t>
        </is>
      </c>
      <c r="B10" s="3">
        <f>SUM(B2:B9)</f>
        <v/>
      </c>
      <c r="C10" s="3">
        <f>SUM(C2:C9)</f>
        <v/>
      </c>
      <c r="D10" s="2" t="inlineStr"/>
    </row>
    <row r="11">
      <c r="A11" s="2" t="inlineStr">
        <is>
          <t>预备金</t>
        </is>
      </c>
      <c r="B11" s="3" t="n">
        <v>12500</v>
      </c>
      <c r="C11" s="3">
        <f>ROUND(C10*0.1,0)</f>
        <v/>
      </c>
      <c r="D11" s="2" t="inlineStr">
        <is>
          <t>推荐方案按支出小计的 10%</t>
        </is>
      </c>
    </row>
    <row r="12">
      <c r="A12" s="2" t="inlineStr">
        <is>
          <t>申请支持额</t>
        </is>
      </c>
      <c r="B12" s="3">
        <f>B10+B11</f>
        <v/>
      </c>
      <c r="C12" s="3">
        <f>C10+C11</f>
        <v/>
      </c>
      <c r="D12" s="2" t="inlineStr">
        <is>
          <t>推荐方案不把预测收入计作资金来源</t>
        </is>
      </c>
    </row>
    <row r="13">
      <c r="A13" s="2" t="n"/>
      <c r="B13" s="2" t="n"/>
      <c r="C13" s="2" t="n"/>
      <c r="D13" s="2" t="n"/>
    </row>
    <row r="14">
      <c r="A14" s="2" t="inlineStr">
        <is>
          <t>首阶段预测收入（不计入资金来源）</t>
        </is>
      </c>
      <c r="B14" s="2" t="inlineStr"/>
      <c r="C14" s="3">
        <f>'1 收入测算'!B6+'1 收入测算'!C6</f>
        <v/>
      </c>
      <c r="D14" s="2" t="inlineStr">
        <is>
          <t>Q1+Q2 打赏目标；若按期到账，可作额外缓冲</t>
        </is>
      </c>
    </row>
    <row r="15">
      <c r="A15" s="2" t="inlineStr">
        <is>
          <t>下半年（7–12 月）基准情景净现金</t>
        </is>
      </c>
      <c r="B15" s="2" t="inlineStr"/>
      <c r="C15" s="3">
        <f>'1 收入测算'!D6+'1 收入测算'!E6-26000-10500</f>
        <v/>
      </c>
      <c r="D15" s="2" t="inlineStr">
        <is>
          <t>Q3+Q4 收入 − 日常运营 26,000 − 周边履约 10,500；为正才进入扩张</t>
        </is>
      </c>
    </row>
    <row r="16">
      <c r="A16" s="2" t="inlineStr">
        <is>
          <t>说明</t>
        </is>
      </c>
      <c r="B16" s="2" t="inlineStr"/>
      <c r="C16" s="2" t="inlineStr"/>
      <c r="D16" s="2" t="inlineStr">
        <is>
          <t>原画与 Live2D 尚未付款，已全额计入；首阶段验收未通过时不进入下半年扩张，缺口不由本次申请覆盖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2026-10-24T13:49:09Z</dcterms:created>
  <dcterms:modified xmlns:dcterms="http://purl.org/dc/terms/" xmlns:xsi="http://www.w3.org/2001/XMLSchema-instance" xsi:type="dcterms:W3CDTF">2026-10-24T13:49:10Z</dcterms:modified>
</cp:coreProperties>
</file>